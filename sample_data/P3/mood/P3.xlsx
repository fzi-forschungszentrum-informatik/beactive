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imon\Documents\Development\ki-framework\sample_data\VPN003\XS\"/>
    </mc:Choice>
  </mc:AlternateContent>
  <xr:revisionPtr revIDLastSave="0" documentId="13_ncr:1_{43347CB8-35F5-4751-9E05-FBE2138B829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ovisensXS Form Results" sheetId="1" r:id="rId1"/>
  </sheets>
  <definedNames>
    <definedName name="_xlnm._FilterDatabase" localSheetId="0" hidden="1">'movisensXS Form Results'!$A$1:$BAJ$29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2" i="1" l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N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M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</calcChain>
</file>

<file path=xl/sharedStrings.xml><?xml version="1.0" encoding="utf-8"?>
<sst xmlns="http://schemas.openxmlformats.org/spreadsheetml/2006/main" count="43" uniqueCount="16">
  <si>
    <t>Participant</t>
  </si>
  <si>
    <t>Trigger_date</t>
  </si>
  <si>
    <t>Trigger_time</t>
  </si>
  <si>
    <t>Form</t>
  </si>
  <si>
    <t>Form_start_date</t>
  </si>
  <si>
    <t>Form_start_time</t>
  </si>
  <si>
    <t>Mood1_EA1</t>
  </si>
  <si>
    <t>Mood2_V1</t>
  </si>
  <si>
    <t>Mood3_C1</t>
  </si>
  <si>
    <t>Mood4_EA2</t>
  </si>
  <si>
    <t>Mood5_V2</t>
  </si>
  <si>
    <t>Mood6_C2</t>
  </si>
  <si>
    <t>EMA_daily_prior_task</t>
  </si>
  <si>
    <t>EA</t>
  </si>
  <si>
    <t>V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</si>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</sst>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indexed="8"/>
      <name val="Aptos Narrow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/>
    <xf numFmtId="164" fontId="0" fillId="0" borderId="0" xfId="0" applyNumberFormat="1"/>
    <xf numFmtId="21" fontId="0" fillId="0" borderId="0" xfId="0" applyNumberFormat="1"/>
    <xf numFmtId="0" fontId="1" fillId="0" borderId="1" xfId="0" applyFont="1" applyFill="1" applyBorder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9"/>
  <sheetViews>
    <sheetView tabSelected="1" workbookViewId="0">
      <selection activeCell="A2" sqref="A2:A29"/>
    </sheetView>
  </sheetViews>
  <sheetFormatPr baseColWidth="10" defaultColWidth="9.140625" defaultRowHeight="15" x14ac:dyDescent="0.25"/>
  <cols>
    <col min="1" max="3" width="18.28515625" customWidth="1"/>
    <col min="4" max="4" width="25" customWidth="1"/>
    <col min="5" max="12" width="18.28515625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13</v>
      </c>
      <c r="N1" s="4" t="s">
        <v>14</v>
      </c>
      <c r="O1" s="4" t="s">
        <v>15</v>
      </c>
    </row>
    <row r="2" spans="1:15" x14ac:dyDescent="0.25">
      <c r="A2">
        <v>3</v>
      </c>
      <c r="B2" s="2">
        <v>43725.729108796295</v>
      </c>
      <c r="C2" s="3">
        <v>43725.729108796295</v>
      </c>
      <c r="D2" t="s">
        <v>12</v>
      </c>
      <c r="E2" s="2">
        <v>43725.730844907404</v>
      </c>
      <c r="F2" s="3">
        <v>43725.730844907404</v>
      </c>
      <c r="G2">
        <v>70</v>
      </c>
      <c r="H2">
        <v>14</v>
      </c>
      <c r="I2">
        <v>99</v>
      </c>
      <c r="J2">
        <v>25</v>
      </c>
      <c r="K2">
        <v>100</v>
      </c>
      <c r="L2">
        <v>17</v>
      </c>
      <c r="M2">
        <f t="shared" ref="M2:M4" si="0">(G2+100-J2)/2</f>
        <v>72.5</v>
      </c>
      <c r="N2">
        <f t="shared" ref="N2:N4" si="1">(K2+100-H2)/2</f>
        <v>93</v>
      </c>
      <c r="O2">
        <f t="shared" ref="O2:O4" si="2">(I2+100-L2)/2</f>
        <v>91</v>
      </c>
    </row>
    <row r="3" spans="1:15" x14ac:dyDescent="0.25">
      <c r="A3">
        <v>3</v>
      </c>
      <c r="B3" s="2">
        <v>43726.3437962963</v>
      </c>
      <c r="C3" s="3">
        <v>43726.3437962963</v>
      </c>
      <c r="D3" t="s">
        <v>12</v>
      </c>
      <c r="E3" s="2">
        <v>43726.3440162037</v>
      </c>
      <c r="F3" s="3">
        <v>43726.3440162037</v>
      </c>
      <c r="G3">
        <v>88</v>
      </c>
      <c r="H3">
        <v>19</v>
      </c>
      <c r="I3">
        <v>100</v>
      </c>
      <c r="J3">
        <v>12</v>
      </c>
      <c r="K3">
        <v>81</v>
      </c>
      <c r="L3">
        <v>2</v>
      </c>
      <c r="M3">
        <f t="shared" si="0"/>
        <v>88</v>
      </c>
      <c r="N3">
        <f t="shared" si="1"/>
        <v>81</v>
      </c>
      <c r="O3">
        <f t="shared" si="2"/>
        <v>99</v>
      </c>
    </row>
    <row r="4" spans="1:15" x14ac:dyDescent="0.25">
      <c r="A4">
        <v>3</v>
      </c>
      <c r="B4" s="2">
        <v>43726.416087962964</v>
      </c>
      <c r="C4" s="3">
        <v>43726.416087962964</v>
      </c>
      <c r="D4" t="s">
        <v>12</v>
      </c>
      <c r="E4" s="2">
        <v>43726.417638888888</v>
      </c>
      <c r="F4" s="3">
        <v>43726.417638888888</v>
      </c>
      <c r="G4">
        <v>100</v>
      </c>
      <c r="H4">
        <v>15</v>
      </c>
      <c r="I4">
        <v>85</v>
      </c>
      <c r="J4">
        <v>15</v>
      </c>
      <c r="K4">
        <v>84</v>
      </c>
      <c r="L4">
        <v>15</v>
      </c>
      <c r="M4">
        <f t="shared" si="0"/>
        <v>92.5</v>
      </c>
      <c r="N4">
        <f t="shared" si="1"/>
        <v>84.5</v>
      </c>
      <c r="O4">
        <f t="shared" si="2"/>
        <v>85</v>
      </c>
    </row>
    <row r="5" spans="1:15" x14ac:dyDescent="0.25">
      <c r="A5">
        <v>3</v>
      </c>
      <c r="B5" s="2">
        <v>43726.462754629632</v>
      </c>
      <c r="C5" s="3">
        <v>43726.462754629632</v>
      </c>
      <c r="D5" t="s">
        <v>12</v>
      </c>
      <c r="E5" s="2">
        <v>43726.46502314815</v>
      </c>
      <c r="F5" s="3">
        <v>43726.46502314815</v>
      </c>
      <c r="G5">
        <v>83</v>
      </c>
      <c r="H5">
        <v>17</v>
      </c>
      <c r="I5">
        <v>84</v>
      </c>
      <c r="J5">
        <v>19</v>
      </c>
      <c r="K5">
        <v>87</v>
      </c>
      <c r="L5">
        <v>16</v>
      </c>
      <c r="M5">
        <f t="shared" ref="M5:M13" si="3">(G5+100-J5)/2</f>
        <v>82</v>
      </c>
      <c r="N5">
        <f t="shared" ref="N5:N13" si="4">(K5+100-H5)/2</f>
        <v>85</v>
      </c>
      <c r="O5">
        <f t="shared" ref="O5:O13" si="5">(I5+100-L5)/2</f>
        <v>84</v>
      </c>
    </row>
    <row r="6" spans="1:15" x14ac:dyDescent="0.25">
      <c r="A6">
        <v>3</v>
      </c>
      <c r="B6" s="2">
        <v>43726.503530092596</v>
      </c>
      <c r="C6" s="3">
        <v>43726.503530092596</v>
      </c>
      <c r="D6" t="s">
        <v>12</v>
      </c>
      <c r="E6" s="2">
        <v>43726.509166666663</v>
      </c>
      <c r="F6" s="3">
        <v>43726.509166666663</v>
      </c>
      <c r="G6">
        <v>88</v>
      </c>
      <c r="H6">
        <v>0</v>
      </c>
      <c r="I6">
        <v>100</v>
      </c>
      <c r="J6">
        <v>5</v>
      </c>
      <c r="K6">
        <v>91</v>
      </c>
      <c r="L6">
        <v>13</v>
      </c>
      <c r="M6">
        <f t="shared" si="3"/>
        <v>91.5</v>
      </c>
      <c r="N6">
        <f t="shared" si="4"/>
        <v>95.5</v>
      </c>
      <c r="O6">
        <f t="shared" si="5"/>
        <v>93.5</v>
      </c>
    </row>
    <row r="7" spans="1:15" x14ac:dyDescent="0.25">
      <c r="A7">
        <v>3</v>
      </c>
      <c r="B7" s="2">
        <v>43726.574467592596</v>
      </c>
      <c r="C7" s="3">
        <v>43726.574467592596</v>
      </c>
      <c r="D7" t="s">
        <v>12</v>
      </c>
      <c r="E7" s="2">
        <v>43726.574664351851</v>
      </c>
      <c r="F7" s="3">
        <v>43726.574664351851</v>
      </c>
      <c r="G7">
        <v>60</v>
      </c>
      <c r="H7">
        <v>32</v>
      </c>
      <c r="I7">
        <v>83</v>
      </c>
      <c r="J7">
        <v>36</v>
      </c>
      <c r="K7">
        <v>77</v>
      </c>
      <c r="L7">
        <v>14</v>
      </c>
      <c r="M7">
        <f t="shared" si="3"/>
        <v>62</v>
      </c>
      <c r="N7">
        <f t="shared" si="4"/>
        <v>72.5</v>
      </c>
      <c r="O7">
        <f t="shared" si="5"/>
        <v>84.5</v>
      </c>
    </row>
    <row r="8" spans="1:15" x14ac:dyDescent="0.25">
      <c r="A8">
        <v>3</v>
      </c>
      <c r="B8" s="2">
        <v>43726.76771990741</v>
      </c>
      <c r="C8" s="3">
        <v>43726.76771990741</v>
      </c>
      <c r="D8" t="s">
        <v>12</v>
      </c>
      <c r="E8" s="2">
        <v>43726.768009259256</v>
      </c>
      <c r="F8" s="3">
        <v>43726.768009259256</v>
      </c>
      <c r="G8">
        <v>82</v>
      </c>
      <c r="H8">
        <v>18</v>
      </c>
      <c r="I8">
        <v>59</v>
      </c>
      <c r="J8">
        <v>10</v>
      </c>
      <c r="K8">
        <v>87</v>
      </c>
      <c r="L8">
        <v>59</v>
      </c>
      <c r="M8">
        <f t="shared" si="3"/>
        <v>86</v>
      </c>
      <c r="N8">
        <f t="shared" si="4"/>
        <v>84.5</v>
      </c>
      <c r="O8">
        <f t="shared" si="5"/>
        <v>50</v>
      </c>
    </row>
    <row r="9" spans="1:15" x14ac:dyDescent="0.25">
      <c r="A9">
        <v>3</v>
      </c>
      <c r="B9" s="2">
        <v>43727.333368055559</v>
      </c>
      <c r="C9" s="3">
        <v>43727.333368055559</v>
      </c>
      <c r="D9" t="s">
        <v>12</v>
      </c>
      <c r="E9" s="2">
        <v>43727.333472222221</v>
      </c>
      <c r="F9" s="3">
        <v>43727.333472222221</v>
      </c>
      <c r="G9">
        <v>100</v>
      </c>
      <c r="H9">
        <v>11</v>
      </c>
      <c r="I9">
        <v>92</v>
      </c>
      <c r="J9">
        <v>15</v>
      </c>
      <c r="K9">
        <v>89</v>
      </c>
      <c r="L9">
        <v>13</v>
      </c>
      <c r="M9">
        <f t="shared" si="3"/>
        <v>92.5</v>
      </c>
      <c r="N9">
        <f t="shared" si="4"/>
        <v>89</v>
      </c>
      <c r="O9">
        <f t="shared" si="5"/>
        <v>89.5</v>
      </c>
    </row>
    <row r="10" spans="1:15" x14ac:dyDescent="0.25">
      <c r="A10">
        <v>3</v>
      </c>
      <c r="B10" s="2">
        <v>43727.392962962964</v>
      </c>
      <c r="C10" s="3">
        <v>43727.392962962964</v>
      </c>
      <c r="D10" t="s">
        <v>12</v>
      </c>
      <c r="E10" s="2">
        <v>43727.398229166669</v>
      </c>
      <c r="F10" s="3">
        <v>43727.398229166669</v>
      </c>
      <c r="G10">
        <v>100</v>
      </c>
      <c r="H10">
        <v>0</v>
      </c>
      <c r="I10">
        <v>73</v>
      </c>
      <c r="J10">
        <v>0</v>
      </c>
      <c r="K10">
        <v>86</v>
      </c>
      <c r="L10">
        <v>55</v>
      </c>
      <c r="M10">
        <f t="shared" si="3"/>
        <v>100</v>
      </c>
      <c r="N10">
        <f t="shared" si="4"/>
        <v>93</v>
      </c>
      <c r="O10">
        <f t="shared" si="5"/>
        <v>59</v>
      </c>
    </row>
    <row r="11" spans="1:15" x14ac:dyDescent="0.25">
      <c r="A11">
        <v>3</v>
      </c>
      <c r="B11" s="2">
        <v>43727.440879629627</v>
      </c>
      <c r="C11" s="3">
        <v>43727.440879629627</v>
      </c>
      <c r="D11" t="s">
        <v>12</v>
      </c>
      <c r="E11" s="2">
        <v>43727.442094907405</v>
      </c>
      <c r="F11" s="3">
        <v>43727.442094907405</v>
      </c>
      <c r="G11">
        <v>100</v>
      </c>
      <c r="H11">
        <v>0</v>
      </c>
      <c r="I11">
        <v>92</v>
      </c>
      <c r="J11">
        <v>14</v>
      </c>
      <c r="K11">
        <v>100</v>
      </c>
      <c r="L11">
        <v>58</v>
      </c>
      <c r="M11">
        <f t="shared" si="3"/>
        <v>93</v>
      </c>
      <c r="N11">
        <f t="shared" si="4"/>
        <v>100</v>
      </c>
      <c r="O11">
        <f t="shared" si="5"/>
        <v>67</v>
      </c>
    </row>
    <row r="12" spans="1:15" x14ac:dyDescent="0.25">
      <c r="A12">
        <v>3</v>
      </c>
      <c r="B12" s="2">
        <v>43727.707731481481</v>
      </c>
      <c r="C12" s="3">
        <v>43727.707731481481</v>
      </c>
      <c r="D12" t="s">
        <v>12</v>
      </c>
      <c r="E12" s="2">
        <v>43727.707881944443</v>
      </c>
      <c r="F12" s="3">
        <v>43727.707881944443</v>
      </c>
      <c r="G12">
        <v>82</v>
      </c>
      <c r="H12">
        <v>17</v>
      </c>
      <c r="I12">
        <v>84</v>
      </c>
      <c r="J12">
        <v>39</v>
      </c>
      <c r="K12">
        <v>88</v>
      </c>
      <c r="L12">
        <v>10</v>
      </c>
      <c r="M12">
        <f t="shared" si="3"/>
        <v>71.5</v>
      </c>
      <c r="N12">
        <f t="shared" si="4"/>
        <v>85.5</v>
      </c>
      <c r="O12">
        <f t="shared" si="5"/>
        <v>87</v>
      </c>
    </row>
    <row r="13" spans="1:15" x14ac:dyDescent="0.25">
      <c r="A13">
        <v>3</v>
      </c>
      <c r="B13" s="2">
        <v>43727.754999999997</v>
      </c>
      <c r="C13" s="3">
        <v>43727.754999999997</v>
      </c>
      <c r="D13" t="s">
        <v>12</v>
      </c>
      <c r="E13" s="2">
        <v>43727.755196759259</v>
      </c>
      <c r="F13" s="3">
        <v>43727.755196759259</v>
      </c>
      <c r="G13">
        <v>85</v>
      </c>
      <c r="H13">
        <v>10</v>
      </c>
      <c r="I13">
        <v>27</v>
      </c>
      <c r="J13">
        <v>29</v>
      </c>
      <c r="K13">
        <v>78</v>
      </c>
      <c r="L13">
        <v>75</v>
      </c>
      <c r="M13">
        <f t="shared" si="3"/>
        <v>78</v>
      </c>
      <c r="N13">
        <f t="shared" si="4"/>
        <v>84</v>
      </c>
      <c r="O13">
        <f t="shared" si="5"/>
        <v>26</v>
      </c>
    </row>
    <row r="14" spans="1:15" x14ac:dyDescent="0.25">
      <c r="A14">
        <v>3</v>
      </c>
      <c r="B14" s="2">
        <v>43728.333912037036</v>
      </c>
      <c r="C14" s="3">
        <v>43728.333912037036</v>
      </c>
      <c r="D14" t="s">
        <v>12</v>
      </c>
      <c r="E14" s="2">
        <v>43728.334120370368</v>
      </c>
      <c r="F14" s="3">
        <v>43728.334120370368</v>
      </c>
      <c r="G14">
        <v>13</v>
      </c>
      <c r="H14">
        <v>45</v>
      </c>
      <c r="I14">
        <v>92</v>
      </c>
      <c r="J14">
        <v>54</v>
      </c>
      <c r="K14">
        <v>83</v>
      </c>
      <c r="L14">
        <v>4</v>
      </c>
      <c r="M14">
        <f t="shared" ref="M14:M19" si="6">(G14+100-J14)/2</f>
        <v>29.5</v>
      </c>
      <c r="N14">
        <f t="shared" ref="N14:N19" si="7">(K14+100-H14)/2</f>
        <v>69</v>
      </c>
      <c r="O14">
        <f t="shared" ref="O14:O19" si="8">(I14+100-L14)/2</f>
        <v>94</v>
      </c>
    </row>
    <row r="15" spans="1:15" x14ac:dyDescent="0.25">
      <c r="A15">
        <v>3</v>
      </c>
      <c r="B15" s="2">
        <v>43728.427893518521</v>
      </c>
      <c r="C15" s="3">
        <v>43728.427893518521</v>
      </c>
      <c r="D15" t="s">
        <v>12</v>
      </c>
      <c r="E15" s="2">
        <v>43728.428449074076</v>
      </c>
      <c r="F15" s="3">
        <v>43728.428449074076</v>
      </c>
      <c r="G15">
        <v>67</v>
      </c>
      <c r="H15">
        <v>12</v>
      </c>
      <c r="I15">
        <v>92</v>
      </c>
      <c r="J15">
        <v>33</v>
      </c>
      <c r="K15">
        <v>85</v>
      </c>
      <c r="L15">
        <v>10</v>
      </c>
      <c r="M15">
        <f t="shared" si="6"/>
        <v>67</v>
      </c>
      <c r="N15">
        <f t="shared" si="7"/>
        <v>86.5</v>
      </c>
      <c r="O15">
        <f t="shared" si="8"/>
        <v>91</v>
      </c>
    </row>
    <row r="16" spans="1:15" x14ac:dyDescent="0.25">
      <c r="A16">
        <v>3</v>
      </c>
      <c r="B16" s="2">
        <v>43728.476145833331</v>
      </c>
      <c r="C16" s="3">
        <v>43728.476145833331</v>
      </c>
      <c r="D16" t="s">
        <v>12</v>
      </c>
      <c r="E16" s="2">
        <v>43728.476284722223</v>
      </c>
      <c r="F16" s="3">
        <v>43728.476284722223</v>
      </c>
      <c r="G16">
        <v>100</v>
      </c>
      <c r="H16">
        <v>20</v>
      </c>
      <c r="I16">
        <v>87</v>
      </c>
      <c r="J16">
        <v>35</v>
      </c>
      <c r="K16">
        <v>90</v>
      </c>
      <c r="L16">
        <v>9</v>
      </c>
      <c r="M16">
        <f t="shared" si="6"/>
        <v>82.5</v>
      </c>
      <c r="N16">
        <f t="shared" si="7"/>
        <v>85</v>
      </c>
      <c r="O16">
        <f t="shared" si="8"/>
        <v>89</v>
      </c>
    </row>
    <row r="17" spans="1:15" x14ac:dyDescent="0.25">
      <c r="A17">
        <v>3</v>
      </c>
      <c r="B17" s="2">
        <v>43728.531388888892</v>
      </c>
      <c r="C17" s="3">
        <v>43728.531388888892</v>
      </c>
      <c r="D17" t="s">
        <v>12</v>
      </c>
      <c r="E17" s="2">
        <v>43728.531574074077</v>
      </c>
      <c r="F17" s="3">
        <v>43728.531574074077</v>
      </c>
      <c r="G17">
        <v>90</v>
      </c>
      <c r="H17">
        <v>11</v>
      </c>
      <c r="I17">
        <v>100</v>
      </c>
      <c r="J17">
        <v>19</v>
      </c>
      <c r="K17">
        <v>100</v>
      </c>
      <c r="L17">
        <v>0</v>
      </c>
      <c r="M17">
        <f t="shared" si="6"/>
        <v>85.5</v>
      </c>
      <c r="N17">
        <f t="shared" si="7"/>
        <v>94.5</v>
      </c>
      <c r="O17">
        <f t="shared" si="8"/>
        <v>100</v>
      </c>
    </row>
    <row r="18" spans="1:15" x14ac:dyDescent="0.25">
      <c r="A18">
        <v>3</v>
      </c>
      <c r="B18" s="2">
        <v>43728.575208333335</v>
      </c>
      <c r="C18" s="3">
        <v>43728.575208333335</v>
      </c>
      <c r="D18" t="s">
        <v>12</v>
      </c>
      <c r="E18" s="2">
        <v>43728.576296296298</v>
      </c>
      <c r="F18" s="3">
        <v>43728.576296296298</v>
      </c>
      <c r="G18">
        <v>92</v>
      </c>
      <c r="H18">
        <v>14</v>
      </c>
      <c r="I18">
        <v>84</v>
      </c>
      <c r="J18">
        <v>39</v>
      </c>
      <c r="K18">
        <v>91</v>
      </c>
      <c r="L18">
        <v>14</v>
      </c>
      <c r="M18">
        <f t="shared" si="6"/>
        <v>76.5</v>
      </c>
      <c r="N18">
        <f t="shared" si="7"/>
        <v>88.5</v>
      </c>
      <c r="O18">
        <f t="shared" si="8"/>
        <v>85</v>
      </c>
    </row>
    <row r="19" spans="1:15" x14ac:dyDescent="0.25">
      <c r="A19">
        <v>3</v>
      </c>
      <c r="B19" s="2">
        <v>43728.718726851854</v>
      </c>
      <c r="C19" s="3">
        <v>43728.718726851854</v>
      </c>
      <c r="D19" t="s">
        <v>12</v>
      </c>
      <c r="E19" s="2">
        <v>43728.719467592593</v>
      </c>
      <c r="F19" s="3">
        <v>43728.719467592593</v>
      </c>
      <c r="G19">
        <v>17</v>
      </c>
      <c r="H19">
        <v>24</v>
      </c>
      <c r="I19">
        <v>93</v>
      </c>
      <c r="J19">
        <v>47</v>
      </c>
      <c r="K19">
        <v>74</v>
      </c>
      <c r="L19">
        <v>9</v>
      </c>
      <c r="M19">
        <f t="shared" si="6"/>
        <v>35</v>
      </c>
      <c r="N19">
        <f t="shared" si="7"/>
        <v>75</v>
      </c>
      <c r="O19">
        <f t="shared" si="8"/>
        <v>92</v>
      </c>
    </row>
    <row r="20" spans="1:15" x14ac:dyDescent="0.25">
      <c r="A20">
        <v>3</v>
      </c>
      <c r="B20" s="2">
        <v>43729.396481481483</v>
      </c>
      <c r="C20" s="3">
        <v>43729.396481481483</v>
      </c>
      <c r="D20" t="s">
        <v>12</v>
      </c>
      <c r="E20" s="2">
        <v>43729.396585648145</v>
      </c>
      <c r="F20" s="3">
        <v>43729.396585648145</v>
      </c>
      <c r="G20">
        <v>13</v>
      </c>
      <c r="H20">
        <v>24</v>
      </c>
      <c r="I20">
        <v>87</v>
      </c>
      <c r="J20">
        <v>43</v>
      </c>
      <c r="K20">
        <v>80</v>
      </c>
      <c r="L20">
        <v>0</v>
      </c>
      <c r="M20">
        <f t="shared" ref="M20:M28" si="9">(G20+100-J20)/2</f>
        <v>35</v>
      </c>
      <c r="N20">
        <f t="shared" ref="N20:N28" si="10">(K20+100-H20)/2</f>
        <v>78</v>
      </c>
      <c r="O20">
        <f t="shared" ref="O20:O28" si="11">(I20+100-L20)/2</f>
        <v>93.5</v>
      </c>
    </row>
    <row r="21" spans="1:15" x14ac:dyDescent="0.25">
      <c r="A21">
        <v>3</v>
      </c>
      <c r="B21" s="2">
        <v>43729.437303240738</v>
      </c>
      <c r="C21" s="3">
        <v>43729.437303240738</v>
      </c>
      <c r="D21" t="s">
        <v>12</v>
      </c>
      <c r="E21" s="2">
        <v>43729.437430555554</v>
      </c>
      <c r="F21" s="3">
        <v>43729.437430555554</v>
      </c>
      <c r="G21">
        <v>27</v>
      </c>
      <c r="H21">
        <v>15</v>
      </c>
      <c r="I21">
        <v>98</v>
      </c>
      <c r="J21">
        <v>29</v>
      </c>
      <c r="K21">
        <v>93</v>
      </c>
      <c r="L21">
        <v>0</v>
      </c>
      <c r="M21">
        <f t="shared" si="9"/>
        <v>49</v>
      </c>
      <c r="N21">
        <f t="shared" si="10"/>
        <v>89</v>
      </c>
      <c r="O21">
        <f t="shared" si="11"/>
        <v>99</v>
      </c>
    </row>
    <row r="22" spans="1:15" x14ac:dyDescent="0.25">
      <c r="A22">
        <v>3</v>
      </c>
      <c r="B22" s="2">
        <v>43729.498703703706</v>
      </c>
      <c r="C22" s="3">
        <v>43729.498703703706</v>
      </c>
      <c r="D22" t="s">
        <v>12</v>
      </c>
      <c r="E22" s="2">
        <v>43729.499131944445</v>
      </c>
      <c r="F22" s="3">
        <v>43729.499131944445</v>
      </c>
      <c r="G22">
        <v>90</v>
      </c>
      <c r="H22">
        <v>0</v>
      </c>
      <c r="I22">
        <v>65</v>
      </c>
      <c r="J22">
        <v>16</v>
      </c>
      <c r="K22">
        <v>100</v>
      </c>
      <c r="L22">
        <v>0</v>
      </c>
      <c r="M22">
        <f t="shared" si="9"/>
        <v>87</v>
      </c>
      <c r="N22">
        <f t="shared" si="10"/>
        <v>100</v>
      </c>
      <c r="O22">
        <f t="shared" si="11"/>
        <v>82.5</v>
      </c>
    </row>
    <row r="23" spans="1:15" x14ac:dyDescent="0.25">
      <c r="A23">
        <v>3</v>
      </c>
      <c r="B23" s="2">
        <v>43729.5471412037</v>
      </c>
      <c r="C23" s="3">
        <v>43729.5471412037</v>
      </c>
      <c r="D23" t="s">
        <v>12</v>
      </c>
      <c r="E23" s="2">
        <v>43729.547337962962</v>
      </c>
      <c r="F23" s="3">
        <v>43729.547337962962</v>
      </c>
      <c r="G23">
        <v>100</v>
      </c>
      <c r="H23">
        <v>0</v>
      </c>
      <c r="I23">
        <v>100</v>
      </c>
      <c r="J23">
        <v>19</v>
      </c>
      <c r="K23">
        <v>98</v>
      </c>
      <c r="L23">
        <v>1</v>
      </c>
      <c r="M23">
        <f t="shared" si="9"/>
        <v>90.5</v>
      </c>
      <c r="N23">
        <f t="shared" si="10"/>
        <v>99</v>
      </c>
      <c r="O23">
        <f t="shared" si="11"/>
        <v>99.5</v>
      </c>
    </row>
    <row r="24" spans="1:15" x14ac:dyDescent="0.25">
      <c r="A24">
        <v>3</v>
      </c>
      <c r="B24" s="2">
        <v>43729.60193287037</v>
      </c>
      <c r="C24" s="3">
        <v>43729.60193287037</v>
      </c>
      <c r="D24" t="s">
        <v>12</v>
      </c>
      <c r="E24" s="2">
        <v>43729.602094907408</v>
      </c>
      <c r="F24" s="3">
        <v>43729.602094907408</v>
      </c>
      <c r="G24">
        <v>88</v>
      </c>
      <c r="H24">
        <v>12</v>
      </c>
      <c r="I24">
        <v>88</v>
      </c>
      <c r="J24">
        <v>15</v>
      </c>
      <c r="K24">
        <v>90</v>
      </c>
      <c r="L24">
        <v>12</v>
      </c>
      <c r="M24">
        <f t="shared" si="9"/>
        <v>86.5</v>
      </c>
      <c r="N24">
        <f t="shared" si="10"/>
        <v>89</v>
      </c>
      <c r="O24">
        <f t="shared" si="11"/>
        <v>88</v>
      </c>
    </row>
    <row r="25" spans="1:15" x14ac:dyDescent="0.25">
      <c r="A25">
        <v>3</v>
      </c>
      <c r="B25" s="2">
        <v>43729.70412037037</v>
      </c>
      <c r="C25" s="3">
        <v>43729.70412037037</v>
      </c>
      <c r="D25" t="s">
        <v>12</v>
      </c>
      <c r="E25" s="2">
        <v>43729.704224537039</v>
      </c>
      <c r="F25" s="3">
        <v>43729.704224537039</v>
      </c>
      <c r="G25">
        <v>90</v>
      </c>
      <c r="H25">
        <v>11</v>
      </c>
      <c r="I25">
        <v>88</v>
      </c>
      <c r="J25">
        <v>11</v>
      </c>
      <c r="K25">
        <v>84</v>
      </c>
      <c r="L25">
        <v>15</v>
      </c>
      <c r="M25">
        <f t="shared" si="9"/>
        <v>89.5</v>
      </c>
      <c r="N25">
        <f t="shared" si="10"/>
        <v>86.5</v>
      </c>
      <c r="O25">
        <f t="shared" si="11"/>
        <v>86.5</v>
      </c>
    </row>
    <row r="26" spans="1:15" x14ac:dyDescent="0.25">
      <c r="A26">
        <v>3</v>
      </c>
      <c r="B26" s="2">
        <v>43730.460243055553</v>
      </c>
      <c r="C26" s="3">
        <v>43730.460243055553</v>
      </c>
      <c r="D26" t="s">
        <v>12</v>
      </c>
      <c r="E26" s="2">
        <v>43730.461898148147</v>
      </c>
      <c r="F26" s="3">
        <v>43730.461898148147</v>
      </c>
      <c r="G26">
        <v>74</v>
      </c>
      <c r="H26">
        <v>77</v>
      </c>
      <c r="I26">
        <v>64</v>
      </c>
      <c r="J26">
        <v>35</v>
      </c>
      <c r="K26">
        <v>65</v>
      </c>
      <c r="L26">
        <v>32</v>
      </c>
      <c r="M26">
        <f t="shared" si="9"/>
        <v>69.5</v>
      </c>
      <c r="N26">
        <f t="shared" si="10"/>
        <v>44</v>
      </c>
      <c r="O26">
        <f t="shared" si="11"/>
        <v>66</v>
      </c>
    </row>
    <row r="27" spans="1:15" x14ac:dyDescent="0.25">
      <c r="A27">
        <v>3</v>
      </c>
      <c r="B27" s="2">
        <v>43730.50953703704</v>
      </c>
      <c r="C27" s="3">
        <v>43730.50953703704</v>
      </c>
      <c r="D27" t="s">
        <v>12</v>
      </c>
      <c r="E27" s="2">
        <v>43730.509641203702</v>
      </c>
      <c r="F27" s="3">
        <v>43730.509641203702</v>
      </c>
      <c r="G27">
        <v>41</v>
      </c>
      <c r="H27">
        <v>68</v>
      </c>
      <c r="I27">
        <v>83</v>
      </c>
      <c r="J27">
        <v>37</v>
      </c>
      <c r="K27">
        <v>12</v>
      </c>
      <c r="L27">
        <v>59</v>
      </c>
      <c r="M27">
        <f t="shared" si="9"/>
        <v>52</v>
      </c>
      <c r="N27">
        <f t="shared" si="10"/>
        <v>22</v>
      </c>
      <c r="O27">
        <f t="shared" si="11"/>
        <v>62</v>
      </c>
    </row>
    <row r="28" spans="1:15" x14ac:dyDescent="0.25">
      <c r="A28">
        <v>3</v>
      </c>
      <c r="B28" s="2">
        <v>43730.622627314813</v>
      </c>
      <c r="C28" s="3">
        <v>43730.622627314813</v>
      </c>
      <c r="D28" t="s">
        <v>12</v>
      </c>
      <c r="E28" s="2">
        <v>43730.622731481482</v>
      </c>
      <c r="F28" s="3">
        <v>43730.622731481482</v>
      </c>
      <c r="G28">
        <v>41</v>
      </c>
      <c r="H28">
        <v>71</v>
      </c>
      <c r="I28">
        <v>70</v>
      </c>
      <c r="J28">
        <v>34</v>
      </c>
      <c r="K28">
        <v>74</v>
      </c>
      <c r="L28">
        <v>17</v>
      </c>
      <c r="M28">
        <f t="shared" si="9"/>
        <v>53.5</v>
      </c>
      <c r="N28">
        <f t="shared" si="10"/>
        <v>51.5</v>
      </c>
      <c r="O28">
        <f t="shared" si="11"/>
        <v>76.5</v>
      </c>
    </row>
    <row r="29" spans="1:15" x14ac:dyDescent="0.25">
      <c r="A29">
        <v>3</v>
      </c>
      <c r="B29" s="2">
        <v>43730.724398148152</v>
      </c>
      <c r="C29" s="3">
        <v>43730.724398148152</v>
      </c>
      <c r="D29" t="s">
        <v>12</v>
      </c>
      <c r="E29" s="2">
        <v>43730.724548611113</v>
      </c>
      <c r="F29" s="3">
        <v>43730.724548611113</v>
      </c>
      <c r="G29">
        <v>79</v>
      </c>
      <c r="H29">
        <v>9</v>
      </c>
      <c r="I29">
        <v>69</v>
      </c>
      <c r="J29">
        <v>14</v>
      </c>
      <c r="K29">
        <v>84</v>
      </c>
      <c r="L29">
        <v>17</v>
      </c>
      <c r="M29">
        <f t="shared" ref="M29" si="12">(G29+100-J29)/2</f>
        <v>82.5</v>
      </c>
      <c r="N29">
        <f t="shared" ref="N29" si="13">(K29+100-H29)/2</f>
        <v>87.5</v>
      </c>
      <c r="O29">
        <f t="shared" ref="O29" si="14">(I29+100-L29)/2</f>
        <v>76</v>
      </c>
    </row>
  </sheetData>
  <autoFilter ref="A1:BAJ29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movisensXS Form 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24h-Sedentary-Cognition-Study_Proband42_20190923T111708+0200</dc:title>
  <dc:creator>movisensXS</dc:creator>
  <cp:lastModifiedBy>Woll, Simon (IFSS)</cp:lastModifiedBy>
  <dcterms:created xsi:type="dcterms:W3CDTF">2019-09-23T09:17:10Z</dcterms:created>
  <dcterms:modified xsi:type="dcterms:W3CDTF">2025-11-04T07:47:14Z</dcterms:modified>
</cp:coreProperties>
</file>